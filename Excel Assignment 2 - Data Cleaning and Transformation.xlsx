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dde8dcf552de192/Desktop/"/>
    </mc:Choice>
  </mc:AlternateContent>
  <xr:revisionPtr revIDLastSave="2" documentId="8_{6A272A66-9F89-4103-B6FD-0F3303FE5DAB}" xr6:coauthVersionLast="47" xr6:coauthVersionMax="47" xr10:uidLastSave="{7F08E4C3-368E-4A6D-BE55-89A86F4279D4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3" r:id="rId3"/>
  </sheets>
  <definedNames>
    <definedName name="ExternalData_1" localSheetId="2" hidden="1">Solution!$A$1:$I$32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" i="3" l="1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FDBE0-4AB0-43B4-BB00-738134B7748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<sst xmlns="http://schemas.openxmlformats.org/spreadsheetml/2006/main" count="291" uniqueCount="124">
  <si>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</si>
  <si>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</si>
  <si>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</si>
  <si>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</si>
  <si>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</si>
  <si>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</si>
  <si>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</si>
  <si>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</si>
  <si>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</si>
  <si>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</si>
  <si>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</si>
  <si>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</si>
  <si>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</si>
  <si>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</si>
  <si>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</si>
  <si>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</si>
  <si>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</si>
  <si>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</si>
  <si>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</si>
  <si>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</si>
  <si>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</si>
  <si>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</si>
  <si>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</si>
  <si>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</si>
  <si>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</si>
  <si>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</si>
  <si>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</si>
  <si>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</si>
  <si>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</si>
  <si>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</si>
  <si>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</si>
  <si>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</si>
  <si>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</si>
  <si>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</si>
  <si>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</si>
  <si>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</si>
  <si>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</si>
  <si>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</si>
  <si>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</si>
  <si>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</si>
  <si>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</si>
  <si>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</si>
  <si>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</si>
  <si>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</si>
  <si>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</si>
  <si>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</si>
  <si>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</si>
  <si>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</si>
  <si>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</si>
  <si>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</si>
  <si>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</si>
  <si>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</si>
  <si>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</si>
  <si>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</si>
  <si>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</si>
  <si>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</si>
  <si>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</si>
  <si>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</si>
  <si>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</si>
  <si>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</si>
  <si>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</si>
  <si>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</si>
  <si>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</si>
  <si>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</si>
  <si>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</si>
  <si>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</si>
  <si>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</si>
  <si>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</si>
  <si>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</si>
  <si>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</si>
  <si>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</si>
  <si>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</si>
  <si>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</si>
  <si>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</si>
  <si>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</si>
  <si>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</si>
  <si>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</si>
  <si>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</si>
  <si>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</si>
  <si>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</si>
  <si>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</si>
  <si>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</si>
  <si>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</si>
  <si>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</si>
  <si>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</si>
  <si>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</si>
  <si>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</si>
  <si>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</si>
  <si>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</si>
  <si>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</si>
  <si>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</si>
  <si>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</si>
  <si>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</si>
  <si>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</si>
  <si>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</si>
  <si>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</si>
  <si>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</si>
  <si>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</si>
  <si>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</si>
  <si>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</si>
  <si>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</si>
  <si>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</si>
  <si>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</si>
  <si>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</si>
  <si>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</si>
  <si>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</si>
  <si>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</si>
  <si>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</si>
  <si>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</si>
  <si>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</si>
  <si>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</si>
  <si>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</si>
  <si>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</si>
  <si>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</si>
  <si>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</si>
  <si>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</si>
  <si>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</t>
  </si>
  <si>
    <t>new category</t>
  </si>
  <si>
    <t>T-Shirt</t>
  </si>
  <si>
    <t>Hp</t>
  </si>
  <si>
    <t>Levi'S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</si>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</sst>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9" fillId="0" borderId="0" xfId="0" applyFont="1"/>
    <xf numFmtId="14" fontId="9" fillId="0" borderId="0" xfId="0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[$$-C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A0C79C-017B-4208-96C9-0DD407D282C1}" autoFormatId="16" applyNumberFormats="0" applyBorderFormats="0" applyFontFormats="0" applyPatternFormats="0" applyAlignmentFormats="0" applyWidthHeightFormats="0">
  <queryTableRefresh nextId="13">
    <queryTableFields count="9">
      <queryTableField id="1" name="Product ID" tableColumnId="1"/>
      <queryTableField id="8" dataBound="0" tableColumnId="8"/>
      <queryTableField id="9" dataBound="0" tableColumnId="9"/>
      <queryTableField id="2" name="Product Name" tableColumnId="2"/>
      <queryTableField id="3" name="Brand Name" tableColumnId="3"/>
      <queryTableField id="10" dataBound="0" tableColumnId="10"/>
      <queryTableField id="4" name="Price ($)" tableColumnId="4"/>
      <queryTableField id="5" name="Quantity" tableColumnId="5"/>
      <queryTableField id="7" name="new 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10512-8E03-4F92-84CD-CD18ED888CF0}" name="Dataset" displayName="Dataset" ref="A1:I32" tableType="queryTable" totalsRowShown="0">
  <autoFilter ref="A1:I32" xr:uid="{10810512-8E03-4F92-84CD-CD18ED888CF0}"/>
  <tableColumns count="9">
    <tableColumn id="1" xr3:uid="{8177F380-6AEC-4997-9A64-68ECF0CC876F}" uniqueName="1" name="Product ID" queryTableFieldId="1" dataDxfId="8"/>
    <tableColumn id="8" xr3:uid="{8E35B3E6-4059-46DC-A1E4-11677A74D9D0}" uniqueName="8" name="Manufacturing Date" queryTableFieldId="8" dataDxfId="7">
      <calculatedColumnFormula>DATEVALUE(_xlfn.TEXTBEFORE(A2,"-",2)&amp;"-2026")</calculatedColumnFormula>
    </tableColumn>
    <tableColumn id="9" xr3:uid="{565C92E2-6820-4054-B27F-8DE02D20BE18}" uniqueName="9" name="Country code" queryTableFieldId="9" dataDxfId="6">
      <calculatedColumnFormula>_xlfn.TEXTAFTER(Dataset[[#This Row],[Product ID]],"-",2)</calculatedColumnFormula>
    </tableColumn>
    <tableColumn id="2" xr3:uid="{E738FE9E-6436-439A-BF1A-AE75720D44F8}" uniqueName="2" name="Product Name" queryTableFieldId="2" dataDxfId="5"/>
    <tableColumn id="3" xr3:uid="{62E93388-1E0A-4E8C-A6B0-4C2DD03F3518}" uniqueName="3" name="Brand Name" queryTableFieldId="3" dataDxfId="4"/>
    <tableColumn id="10" xr3:uid="{89D61F5E-A9D2-4B2A-A66B-B5DEA21C32AE}" uniqueName="10" name="Product Brand" queryTableFieldId="10" dataDxfId="3">
      <calculatedColumnFormula>E2&amp;" "&amp;D2</calculatedColumnFormula>
    </tableColumn>
    <tableColumn id="4" xr3:uid="{4F8E03CF-29AD-440D-B2D0-64BBD2D58693}" uniqueName="4" name="Price ($)" queryTableFieldId="4" dataDxfId="2"/>
    <tableColumn id="5" xr3:uid="{6A144197-8E51-47BD-95B4-EF11B57921B2}" uniqueName="5" name="Quantity" queryTableFieldId="5"/>
    <tableColumn id="7" xr3:uid="{A592332F-E171-4A31-AB72-FDD878F4EF01}" uniqueName="7" name="new category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showGridLines="0" workbookViewId="0">
      <selection activeCell="B6" sqref="B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5" ht="15.75" customHeight="1" x14ac:dyDescent="0.25">
      <c r="A1" s="1" t="s">
        <v>0</v>
      </c>
    </row>
    <row r="2" spans="1:15" ht="15.75" customHeight="1" x14ac:dyDescent="0.25"/>
    <row r="3" spans="1:15" ht="15.75" customHeight="1" x14ac:dyDescent="0.3">
      <c r="B3" s="2" t="s">
        <v>1</v>
      </c>
    </row>
    <row r="4" spans="1:15" ht="15.75" customHeight="1" x14ac:dyDescent="0.3">
      <c r="C4" s="3" t="s">
        <v>2</v>
      </c>
    </row>
    <row r="5" spans="1:15" ht="15.75" customHeight="1" x14ac:dyDescent="0.3">
      <c r="B5" s="4"/>
      <c r="C5" s="3" t="s">
        <v>3</v>
      </c>
    </row>
    <row r="6" spans="1:15" ht="15.75" customHeight="1" x14ac:dyDescent="0.3">
      <c r="B6" s="4"/>
    </row>
    <row r="7" spans="1:15" ht="15.75" customHeight="1" x14ac:dyDescent="0.3">
      <c r="B7" s="2" t="s">
        <v>4</v>
      </c>
    </row>
    <row r="8" spans="1:15" ht="15.75" customHeight="1" x14ac:dyDescent="0.3">
      <c r="C8" s="3" t="s">
        <v>5</v>
      </c>
    </row>
    <row r="9" spans="1:15" ht="15.75" customHeight="1" x14ac:dyDescent="0.3">
      <c r="C9" s="3" t="s">
        <v>6</v>
      </c>
    </row>
    <row r="10" spans="1:15" ht="15.75" customHeight="1" x14ac:dyDescent="0.3">
      <c r="C10" s="3" t="s">
        <v>7</v>
      </c>
    </row>
    <row r="11" spans="1:15" ht="15.75" customHeight="1" x14ac:dyDescent="0.3">
      <c r="B11" s="4"/>
    </row>
    <row r="12" spans="1:15" ht="15.75" customHeight="1" x14ac:dyDescent="0.3">
      <c r="B12" s="2" t="s">
        <v>8</v>
      </c>
      <c r="O12" t="s">
        <v>116</v>
      </c>
    </row>
    <row r="13" spans="1:15" ht="15.75" customHeight="1" x14ac:dyDescent="0.3">
      <c r="B13" s="2"/>
      <c r="C13" s="3" t="s">
        <v>9</v>
      </c>
    </row>
    <row r="14" spans="1:15" ht="15.75" customHeight="1" x14ac:dyDescent="0.25"/>
    <row r="15" spans="1:15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5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17" sqref="H17"/>
    </sheetView>
  </sheetViews>
  <sheetFormatPr defaultColWidth="12.6640625" defaultRowHeight="15" customHeight="1" x14ac:dyDescent="0.25"/>
  <cols>
    <col min="1" max="5" width="12.6640625" customWidth="1"/>
    <col min="6" max="6" width="16.441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0F62-5834-4AA9-862B-728001DAB442}">
  <dimension ref="A1:I32"/>
  <sheetViews>
    <sheetView tabSelected="1" workbookViewId="0">
      <selection activeCell="G2" sqref="G2"/>
    </sheetView>
  </sheetViews>
  <sheetFormatPr defaultRowHeight="13.2" x14ac:dyDescent="0.25"/>
  <cols>
    <col min="1" max="1" width="15.5546875" customWidth="1"/>
    <col min="2" max="2" width="20.21875" style="12" customWidth="1"/>
    <col min="3" max="3" width="21.109375" style="13" customWidth="1"/>
    <col min="4" max="4" width="18.109375" customWidth="1"/>
    <col min="5" max="5" width="16.5546875" customWidth="1"/>
    <col min="6" max="6" width="23.33203125" customWidth="1"/>
    <col min="7" max="7" width="12.6640625" style="9" customWidth="1"/>
    <col min="8" max="8" width="12.21875" customWidth="1"/>
    <col min="9" max="9" width="15" bestFit="1" customWidth="1"/>
    <col min="10" max="10" width="17" customWidth="1"/>
  </cols>
  <sheetData>
    <row r="1" spans="1:9" x14ac:dyDescent="0.25">
      <c r="A1" s="10" t="s">
        <v>19</v>
      </c>
      <c r="B1" s="11" t="s">
        <v>121</v>
      </c>
      <c r="C1" s="14" t="s">
        <v>122</v>
      </c>
      <c r="D1" t="s">
        <v>20</v>
      </c>
      <c r="E1" t="s">
        <v>21</v>
      </c>
      <c r="F1" t="s">
        <v>123</v>
      </c>
      <c r="G1" s="9" t="s">
        <v>22</v>
      </c>
      <c r="H1" t="s">
        <v>23</v>
      </c>
      <c r="I1" t="s">
        <v>117</v>
      </c>
    </row>
    <row r="2" spans="1:9" x14ac:dyDescent="0.25">
      <c r="A2" t="s">
        <v>25</v>
      </c>
      <c r="B2" s="12">
        <f>DATEVALUE(_xlfn.TEXTBEFORE(A2,"-",2)&amp;"-2026")</f>
        <v>46050</v>
      </c>
      <c r="C2" s="13" t="str">
        <f>_xlfn.TEXTAFTER(Dataset[[#This Row],[Product ID]],"-",2)</f>
        <v>US</v>
      </c>
      <c r="D2" t="s">
        <v>61</v>
      </c>
      <c r="E2" t="s">
        <v>27</v>
      </c>
      <c r="F2" t="str">
        <f>E2&amp;" "&amp;D2</f>
        <v>Dell Laptop</v>
      </c>
      <c r="G2" s="9">
        <v>1000</v>
      </c>
      <c r="H2">
        <v>30</v>
      </c>
      <c r="I2" t="s">
        <v>28</v>
      </c>
    </row>
    <row r="3" spans="1:9" x14ac:dyDescent="0.25">
      <c r="A3" t="s">
        <v>29</v>
      </c>
      <c r="B3" s="12">
        <f t="shared" ref="B2:B32" si="0">DATEVALUE(_xlfn.TEXTBEFORE(A3,"-",2)&amp;"-2026")</f>
        <v>46068</v>
      </c>
      <c r="C3" s="13" t="str">
        <f>_xlfn.TEXTAFTER(Dataset[[#This Row],[Product ID]],"-",2)</f>
        <v>US</v>
      </c>
      <c r="D3" t="s">
        <v>30</v>
      </c>
      <c r="E3" t="s">
        <v>31</v>
      </c>
      <c r="F3" t="str">
        <f t="shared" ref="F2:F32" si="1">E3&amp;" "&amp;D3</f>
        <v>Nike Sneakers</v>
      </c>
      <c r="G3" s="9">
        <v>80</v>
      </c>
      <c r="H3">
        <v>15</v>
      </c>
      <c r="I3" t="s">
        <v>32</v>
      </c>
    </row>
    <row r="4" spans="1:9" x14ac:dyDescent="0.25">
      <c r="A4" t="s">
        <v>33</v>
      </c>
      <c r="B4" s="12">
        <f t="shared" si="0"/>
        <v>46084</v>
      </c>
      <c r="C4" s="13" t="str">
        <f>_xlfn.TEXTAFTER(Dataset[[#This Row],[Product ID]],"-",2)</f>
        <v>US</v>
      </c>
      <c r="D4" t="s">
        <v>34</v>
      </c>
      <c r="E4" t="s">
        <v>35</v>
      </c>
      <c r="F4" t="str">
        <f t="shared" si="1"/>
        <v>Keurig Coffee Maker</v>
      </c>
      <c r="G4" s="9">
        <v>130</v>
      </c>
      <c r="H4">
        <v>40</v>
      </c>
      <c r="I4" t="s">
        <v>36</v>
      </c>
    </row>
    <row r="5" spans="1:9" x14ac:dyDescent="0.25">
      <c r="A5" t="s">
        <v>37</v>
      </c>
      <c r="B5" s="12">
        <f t="shared" si="0"/>
        <v>46123</v>
      </c>
      <c r="C5" s="13" t="str">
        <f>_xlfn.TEXTAFTER(Dataset[[#This Row],[Product ID]],"-",2)</f>
        <v>US</v>
      </c>
      <c r="D5" t="s">
        <v>96</v>
      </c>
      <c r="E5" t="s">
        <v>39</v>
      </c>
      <c r="F5" t="str">
        <f t="shared" si="1"/>
        <v>Samsung Smartphone</v>
      </c>
      <c r="G5" s="9">
        <v>900</v>
      </c>
      <c r="H5">
        <v>25</v>
      </c>
      <c r="I5" t="s">
        <v>28</v>
      </c>
    </row>
    <row r="6" spans="1:9" x14ac:dyDescent="0.25">
      <c r="A6" t="s">
        <v>40</v>
      </c>
      <c r="B6" s="12">
        <f t="shared" si="0"/>
        <v>46164</v>
      </c>
      <c r="C6" s="13" t="str">
        <f>_xlfn.TEXTAFTER(Dataset[[#This Row],[Product ID]],"-",2)</f>
        <v>US</v>
      </c>
      <c r="D6" t="s">
        <v>41</v>
      </c>
      <c r="E6" t="s">
        <v>42</v>
      </c>
      <c r="F6" t="str">
        <f t="shared" si="1"/>
        <v>North Face Backpack</v>
      </c>
      <c r="G6" s="9">
        <v>70</v>
      </c>
      <c r="H6">
        <v>20</v>
      </c>
      <c r="I6" t="s">
        <v>75</v>
      </c>
    </row>
    <row r="7" spans="1:9" x14ac:dyDescent="0.25">
      <c r="A7" t="s">
        <v>43</v>
      </c>
      <c r="B7" s="12">
        <f t="shared" si="0"/>
        <v>46180</v>
      </c>
      <c r="C7" s="13" t="str">
        <f>_xlfn.TEXTAFTER(Dataset[[#This Row],[Product ID]],"-",2)</f>
        <v>UK</v>
      </c>
      <c r="D7" t="s">
        <v>44</v>
      </c>
      <c r="E7" t="s">
        <v>45</v>
      </c>
      <c r="F7" t="str">
        <f t="shared" si="1"/>
        <v>Sony Headphones</v>
      </c>
      <c r="G7" s="9">
        <v>130</v>
      </c>
      <c r="H7">
        <v>45</v>
      </c>
      <c r="I7" t="s">
        <v>28</v>
      </c>
    </row>
    <row r="8" spans="1:9" x14ac:dyDescent="0.25">
      <c r="A8" t="s">
        <v>47</v>
      </c>
      <c r="B8" s="12">
        <f t="shared" si="0"/>
        <v>46222</v>
      </c>
      <c r="C8" s="13" t="str">
        <f>_xlfn.TEXTAFTER(Dataset[[#This Row],[Product ID]],"-",2)</f>
        <v>UK</v>
      </c>
      <c r="D8" t="s">
        <v>118</v>
      </c>
      <c r="E8" t="s">
        <v>49</v>
      </c>
      <c r="F8" t="str">
        <f t="shared" si="1"/>
        <v>Adidas T-Shirt</v>
      </c>
      <c r="G8" s="9">
        <v>30</v>
      </c>
      <c r="H8">
        <v>5</v>
      </c>
      <c r="I8" t="s">
        <v>32</v>
      </c>
    </row>
    <row r="9" spans="1:9" x14ac:dyDescent="0.25">
      <c r="A9" t="s">
        <v>50</v>
      </c>
      <c r="B9" s="12">
        <f t="shared" si="0"/>
        <v>46257</v>
      </c>
      <c r="C9" s="13" t="str">
        <f>_xlfn.TEXTAFTER(Dataset[[#This Row],[Product ID]],"-",2)</f>
        <v>UK</v>
      </c>
      <c r="D9" t="s">
        <v>51</v>
      </c>
      <c r="E9" t="s">
        <v>52</v>
      </c>
      <c r="F9" t="str">
        <f t="shared" si="1"/>
        <v>Ninja Blender</v>
      </c>
      <c r="G9" s="9">
        <v>90</v>
      </c>
      <c r="H9">
        <v>35</v>
      </c>
      <c r="I9" t="s">
        <v>36</v>
      </c>
    </row>
    <row r="10" spans="1:9" x14ac:dyDescent="0.25">
      <c r="A10" t="s">
        <v>53</v>
      </c>
      <c r="B10" s="12">
        <f t="shared" si="0"/>
        <v>46270</v>
      </c>
      <c r="C10" s="13" t="str">
        <f>_xlfn.TEXTAFTER(Dataset[[#This Row],[Product ID]],"-",2)</f>
        <v>UK</v>
      </c>
      <c r="D10" t="s">
        <v>54</v>
      </c>
      <c r="E10" t="s">
        <v>55</v>
      </c>
      <c r="F10" t="str">
        <f t="shared" si="1"/>
        <v>Apple Tablet</v>
      </c>
      <c r="G10" s="9">
        <v>500</v>
      </c>
      <c r="H10">
        <v>50</v>
      </c>
      <c r="I10" t="s">
        <v>28</v>
      </c>
    </row>
    <row r="11" spans="1:9" x14ac:dyDescent="0.25">
      <c r="A11" t="s">
        <v>56</v>
      </c>
      <c r="B11" s="12">
        <f t="shared" si="0"/>
        <v>46309</v>
      </c>
      <c r="C11" s="13" t="str">
        <f>_xlfn.TEXTAFTER(Dataset[[#This Row],[Product ID]],"-",2)</f>
        <v>UK</v>
      </c>
      <c r="D11" t="s">
        <v>57</v>
      </c>
      <c r="E11" t="s">
        <v>58</v>
      </c>
      <c r="F11" t="str">
        <f t="shared" si="1"/>
        <v>Timberland Hiking Boots</v>
      </c>
      <c r="G11" s="9">
        <v>130</v>
      </c>
      <c r="H11">
        <v>10</v>
      </c>
      <c r="I11" t="s">
        <v>59</v>
      </c>
    </row>
    <row r="12" spans="1:9" x14ac:dyDescent="0.25">
      <c r="A12" t="s">
        <v>60</v>
      </c>
      <c r="B12" s="12">
        <f t="shared" si="0"/>
        <v>46190</v>
      </c>
      <c r="C12" s="13" t="str">
        <f>_xlfn.TEXTAFTER(Dataset[[#This Row],[Product ID]],"-",2)</f>
        <v>IN</v>
      </c>
      <c r="D12" t="s">
        <v>61</v>
      </c>
      <c r="E12" t="s">
        <v>119</v>
      </c>
      <c r="F12" t="str">
        <f t="shared" si="1"/>
        <v>Hp Laptop</v>
      </c>
      <c r="G12" s="9">
        <v>950</v>
      </c>
      <c r="H12">
        <v>25</v>
      </c>
      <c r="I12" t="s">
        <v>28</v>
      </c>
    </row>
    <row r="13" spans="1:9" x14ac:dyDescent="0.25">
      <c r="A13" t="s">
        <v>63</v>
      </c>
      <c r="B13" s="12">
        <f t="shared" si="0"/>
        <v>46351</v>
      </c>
      <c r="C13" s="13" t="str">
        <f>_xlfn.TEXTAFTER(Dataset[[#This Row],[Product ID]],"-",2)</f>
        <v>AU</v>
      </c>
      <c r="D13" t="s">
        <v>30</v>
      </c>
      <c r="E13" t="s">
        <v>49</v>
      </c>
      <c r="F13" t="str">
        <f t="shared" si="1"/>
        <v>Adidas Sneakers</v>
      </c>
      <c r="G13" s="9">
        <v>90</v>
      </c>
      <c r="H13">
        <v>40</v>
      </c>
      <c r="I13" t="s">
        <v>32</v>
      </c>
    </row>
    <row r="14" spans="1:9" x14ac:dyDescent="0.25">
      <c r="A14" t="s">
        <v>64</v>
      </c>
      <c r="B14" s="12">
        <f t="shared" si="0"/>
        <v>46364</v>
      </c>
      <c r="C14" s="13" t="str">
        <f>_xlfn.TEXTAFTER(Dataset[[#This Row],[Product ID]],"-",2)</f>
        <v>DE</v>
      </c>
      <c r="D14" t="s">
        <v>34</v>
      </c>
      <c r="E14" t="s">
        <v>65</v>
      </c>
      <c r="F14" t="str">
        <f t="shared" si="1"/>
        <v>Nespresso Coffee Maker</v>
      </c>
      <c r="G14" s="9">
        <v>120</v>
      </c>
      <c r="H14">
        <v>35</v>
      </c>
      <c r="I14" t="s">
        <v>36</v>
      </c>
    </row>
    <row r="15" spans="1:9" x14ac:dyDescent="0.25">
      <c r="A15" t="s">
        <v>66</v>
      </c>
      <c r="B15" s="12">
        <f t="shared" si="0"/>
        <v>46071</v>
      </c>
      <c r="C15" s="13" t="str">
        <f>_xlfn.TEXTAFTER(Dataset[[#This Row],[Product ID]],"-",2)</f>
        <v>CA</v>
      </c>
      <c r="D15" t="s">
        <v>67</v>
      </c>
      <c r="E15" t="s">
        <v>68</v>
      </c>
      <c r="F15" t="str">
        <f t="shared" si="1"/>
        <v>Fitbit Smartwatch</v>
      </c>
      <c r="G15" s="9">
        <v>150</v>
      </c>
      <c r="H15">
        <v>15</v>
      </c>
      <c r="I15" t="s">
        <v>28</v>
      </c>
    </row>
    <row r="16" spans="1:9" x14ac:dyDescent="0.25">
      <c r="A16" t="s">
        <v>69</v>
      </c>
      <c r="B16" s="12">
        <f t="shared" si="0"/>
        <v>46128</v>
      </c>
      <c r="C16" s="13" t="str">
        <f>_xlfn.TEXTAFTER(Dataset[[#This Row],[Product ID]],"-",2)</f>
        <v>ES</v>
      </c>
      <c r="D16" t="s">
        <v>44</v>
      </c>
      <c r="E16" t="s">
        <v>71</v>
      </c>
      <c r="F16" t="str">
        <f t="shared" si="1"/>
        <v>Bose Headphones</v>
      </c>
      <c r="G16" s="9">
        <v>250</v>
      </c>
      <c r="H16">
        <v>20</v>
      </c>
      <c r="I16" t="s">
        <v>28</v>
      </c>
    </row>
    <row r="17" spans="1:9" x14ac:dyDescent="0.25">
      <c r="A17" t="s">
        <v>72</v>
      </c>
      <c r="B17" s="12">
        <f t="shared" si="0"/>
        <v>46255</v>
      </c>
      <c r="C17" s="13" t="str">
        <f>_xlfn.TEXTAFTER(Dataset[[#This Row],[Product ID]],"-",2)</f>
        <v>CA</v>
      </c>
      <c r="D17" t="s">
        <v>73</v>
      </c>
      <c r="E17" t="s">
        <v>74</v>
      </c>
      <c r="F17" t="str">
        <f t="shared" si="1"/>
        <v>Samsonite Laptop Bag</v>
      </c>
      <c r="G17" s="9">
        <v>50</v>
      </c>
      <c r="H17">
        <v>35</v>
      </c>
      <c r="I17" t="s">
        <v>75</v>
      </c>
    </row>
    <row r="18" spans="1:9" x14ac:dyDescent="0.25">
      <c r="A18" t="s">
        <v>76</v>
      </c>
      <c r="B18" s="12">
        <f t="shared" si="0"/>
        <v>46254</v>
      </c>
      <c r="C18" s="13" t="str">
        <f>_xlfn.TEXTAFTER(Dataset[[#This Row],[Product ID]],"-",2)</f>
        <v>CN</v>
      </c>
      <c r="D18" t="s">
        <v>67</v>
      </c>
      <c r="E18" t="s">
        <v>77</v>
      </c>
      <c r="F18" t="str">
        <f t="shared" si="1"/>
        <v>Huawei Smartwatch</v>
      </c>
      <c r="G18" s="9">
        <v>160</v>
      </c>
      <c r="H18">
        <v>15</v>
      </c>
      <c r="I18" t="s">
        <v>28</v>
      </c>
    </row>
    <row r="19" spans="1:9" x14ac:dyDescent="0.25">
      <c r="A19" t="s">
        <v>78</v>
      </c>
      <c r="B19" s="12">
        <f t="shared" si="0"/>
        <v>46049</v>
      </c>
      <c r="C19" s="13" t="str">
        <f>_xlfn.TEXTAFTER(Dataset[[#This Row],[Product ID]],"-",2)</f>
        <v>IT</v>
      </c>
      <c r="D19" t="s">
        <v>61</v>
      </c>
      <c r="E19" t="s">
        <v>79</v>
      </c>
      <c r="F19" t="str">
        <f t="shared" si="1"/>
        <v>Asus Laptop</v>
      </c>
      <c r="G19" s="9">
        <v>980</v>
      </c>
      <c r="H19">
        <v>10</v>
      </c>
      <c r="I19" t="s">
        <v>28</v>
      </c>
    </row>
    <row r="20" spans="1:9" x14ac:dyDescent="0.25">
      <c r="A20" t="s">
        <v>80</v>
      </c>
      <c r="B20" s="12">
        <f t="shared" si="0"/>
        <v>46082</v>
      </c>
      <c r="C20" s="13" t="str">
        <f>_xlfn.TEXTAFTER(Dataset[[#This Row],[Product ID]],"-",2)</f>
        <v>UK</v>
      </c>
      <c r="D20" t="s">
        <v>81</v>
      </c>
      <c r="E20" t="s">
        <v>82</v>
      </c>
      <c r="F20" t="str">
        <f t="shared" si="1"/>
        <v>Oakley Sunglasses</v>
      </c>
      <c r="G20" s="9">
        <v>150</v>
      </c>
      <c r="H20">
        <v>15</v>
      </c>
      <c r="I20" t="s">
        <v>32</v>
      </c>
    </row>
    <row r="21" spans="1:9" x14ac:dyDescent="0.25">
      <c r="A21" t="s">
        <v>83</v>
      </c>
      <c r="B21" s="12">
        <f t="shared" si="0"/>
        <v>46248</v>
      </c>
      <c r="C21" s="13" t="str">
        <f>_xlfn.TEXTAFTER(Dataset[[#This Row],[Product ID]],"-",2)</f>
        <v>US</v>
      </c>
      <c r="D21" t="s">
        <v>84</v>
      </c>
      <c r="E21" t="s">
        <v>85</v>
      </c>
      <c r="F21" t="str">
        <f t="shared" si="1"/>
        <v>Coleman Camping Tent</v>
      </c>
      <c r="G21" s="9">
        <v>130</v>
      </c>
      <c r="H21">
        <v>10</v>
      </c>
      <c r="I21" t="s">
        <v>59</v>
      </c>
    </row>
    <row r="22" spans="1:9" x14ac:dyDescent="0.25">
      <c r="A22" t="s">
        <v>86</v>
      </c>
      <c r="B22" s="12">
        <f t="shared" si="0"/>
        <v>46156</v>
      </c>
      <c r="C22" s="13" t="str">
        <f>_xlfn.TEXTAFTER(Dataset[[#This Row],[Product ID]],"-",2)</f>
        <v>RU</v>
      </c>
      <c r="D22" t="s">
        <v>87</v>
      </c>
      <c r="E22" t="s">
        <v>88</v>
      </c>
      <c r="F22" t="str">
        <f t="shared" si="1"/>
        <v>Nikon Camera</v>
      </c>
      <c r="G22" s="9">
        <v>700</v>
      </c>
      <c r="H22">
        <v>50</v>
      </c>
      <c r="I22" t="s">
        <v>28</v>
      </c>
    </row>
    <row r="23" spans="1:9" x14ac:dyDescent="0.25">
      <c r="A23" t="s">
        <v>89</v>
      </c>
      <c r="B23" s="12">
        <f t="shared" si="0"/>
        <v>46031</v>
      </c>
      <c r="C23" s="13" t="str">
        <f>_xlfn.TEXTAFTER(Dataset[[#This Row],[Product ID]],"-",2)</f>
        <v>CA</v>
      </c>
      <c r="D23" t="s">
        <v>90</v>
      </c>
      <c r="E23" t="s">
        <v>91</v>
      </c>
      <c r="F23" t="str">
        <f t="shared" si="1"/>
        <v>Panasonic Microwave</v>
      </c>
      <c r="G23" s="9">
        <v>80</v>
      </c>
      <c r="H23">
        <v>20</v>
      </c>
      <c r="I23" t="s">
        <v>36</v>
      </c>
    </row>
    <row r="24" spans="1:9" x14ac:dyDescent="0.25">
      <c r="A24" t="s">
        <v>92</v>
      </c>
      <c r="B24" s="12">
        <f t="shared" si="0"/>
        <v>46222</v>
      </c>
      <c r="C24" s="13" t="str">
        <f>_xlfn.TEXTAFTER(Dataset[[#This Row],[Product ID]],"-",2)</f>
        <v>BR</v>
      </c>
      <c r="D24" t="s">
        <v>93</v>
      </c>
      <c r="E24" t="s">
        <v>94</v>
      </c>
      <c r="F24" t="str">
        <f t="shared" si="1"/>
        <v>Xiaomi Fitness Tracker</v>
      </c>
      <c r="G24" s="9">
        <v>150</v>
      </c>
      <c r="H24">
        <v>30</v>
      </c>
      <c r="I24" t="s">
        <v>28</v>
      </c>
    </row>
    <row r="25" spans="1:9" x14ac:dyDescent="0.25">
      <c r="A25" t="s">
        <v>95</v>
      </c>
      <c r="B25" s="12">
        <f t="shared" si="0"/>
        <v>46294</v>
      </c>
      <c r="C25" s="13" t="str">
        <f>_xlfn.TEXTAFTER(Dataset[[#This Row],[Product ID]],"-",2)</f>
        <v>CA</v>
      </c>
      <c r="D25" t="s">
        <v>96</v>
      </c>
      <c r="E25" t="s">
        <v>97</v>
      </c>
      <c r="F25" t="str">
        <f t="shared" si="1"/>
        <v>Google Smartphone</v>
      </c>
      <c r="G25" s="9">
        <v>800</v>
      </c>
      <c r="H25">
        <v>45</v>
      </c>
      <c r="I25" t="s">
        <v>28</v>
      </c>
    </row>
    <row r="26" spans="1:9" x14ac:dyDescent="0.25">
      <c r="A26" t="s">
        <v>98</v>
      </c>
      <c r="B26" s="12">
        <f t="shared" si="0"/>
        <v>46176</v>
      </c>
      <c r="C26" s="13" t="str">
        <f>_xlfn.TEXTAFTER(Dataset[[#This Row],[Product ID]],"-",2)</f>
        <v>CA</v>
      </c>
      <c r="D26" t="s">
        <v>81</v>
      </c>
      <c r="E26" t="s">
        <v>99</v>
      </c>
      <c r="F26" t="str">
        <f t="shared" si="1"/>
        <v>Ray-Ban Sunglasses</v>
      </c>
      <c r="G26" s="9">
        <v>130</v>
      </c>
      <c r="H26">
        <v>25</v>
      </c>
      <c r="I26" t="s">
        <v>32</v>
      </c>
    </row>
    <row r="27" spans="1:9" x14ac:dyDescent="0.25">
      <c r="A27" t="s">
        <v>100</v>
      </c>
      <c r="B27" s="12">
        <f t="shared" si="0"/>
        <v>46214</v>
      </c>
      <c r="C27" s="13" t="str">
        <f>_xlfn.TEXTAFTER(Dataset[[#This Row],[Product ID]],"-",2)</f>
        <v>CA</v>
      </c>
      <c r="D27" t="s">
        <v>51</v>
      </c>
      <c r="E27" t="s">
        <v>101</v>
      </c>
      <c r="F27" t="str">
        <f t="shared" si="1"/>
        <v>Vitamix Blender</v>
      </c>
      <c r="G27" s="9">
        <v>400</v>
      </c>
      <c r="H27">
        <v>40</v>
      </c>
      <c r="I27" t="s">
        <v>36</v>
      </c>
    </row>
    <row r="28" spans="1:9" x14ac:dyDescent="0.25">
      <c r="A28" t="s">
        <v>102</v>
      </c>
      <c r="B28" s="12">
        <f t="shared" si="0"/>
        <v>46088</v>
      </c>
      <c r="C28" s="13" t="str">
        <f>_xlfn.TEXTAFTER(Dataset[[#This Row],[Product ID]],"-",2)</f>
        <v>CA</v>
      </c>
      <c r="D28" t="s">
        <v>103</v>
      </c>
      <c r="E28" t="s">
        <v>104</v>
      </c>
      <c r="F28" t="str">
        <f t="shared" si="1"/>
        <v>Zara Dress</v>
      </c>
      <c r="G28" s="9">
        <v>60</v>
      </c>
      <c r="H28">
        <v>30</v>
      </c>
      <c r="I28" t="s">
        <v>32</v>
      </c>
    </row>
    <row r="29" spans="1:9" x14ac:dyDescent="0.25">
      <c r="A29" t="s">
        <v>105</v>
      </c>
      <c r="B29" s="12">
        <f t="shared" si="0"/>
        <v>46125</v>
      </c>
      <c r="C29" s="13" t="str">
        <f>_xlfn.TEXTAFTER(Dataset[[#This Row],[Product ID]],"-",2)</f>
        <v>CA</v>
      </c>
      <c r="D29" t="s">
        <v>106</v>
      </c>
      <c r="E29" t="s">
        <v>107</v>
      </c>
      <c r="F29" t="str">
        <f t="shared" si="1"/>
        <v>Hamilton Toaster</v>
      </c>
      <c r="G29" s="9">
        <v>40</v>
      </c>
      <c r="H29">
        <v>10</v>
      </c>
      <c r="I29" t="s">
        <v>36</v>
      </c>
    </row>
    <row r="30" spans="1:9" x14ac:dyDescent="0.25">
      <c r="A30" t="s">
        <v>108</v>
      </c>
      <c r="B30" s="12">
        <f t="shared" si="0"/>
        <v>46166</v>
      </c>
      <c r="C30" s="13" t="str">
        <f>_xlfn.TEXTAFTER(Dataset[[#This Row],[Product ID]],"-",2)</f>
        <v>CA</v>
      </c>
      <c r="D30" t="s">
        <v>93</v>
      </c>
      <c r="E30" t="s">
        <v>109</v>
      </c>
      <c r="F30" t="str">
        <f t="shared" si="1"/>
        <v>Garmin Fitness Tracker</v>
      </c>
      <c r="G30" s="9">
        <v>130</v>
      </c>
      <c r="H30">
        <v>5</v>
      </c>
      <c r="I30" t="s">
        <v>28</v>
      </c>
    </row>
    <row r="31" spans="1:9" x14ac:dyDescent="0.25">
      <c r="A31" t="s">
        <v>110</v>
      </c>
      <c r="B31" s="12">
        <f t="shared" si="0"/>
        <v>46358</v>
      </c>
      <c r="C31" s="13" t="str">
        <f>_xlfn.TEXTAFTER(Dataset[[#This Row],[Product ID]],"-",2)</f>
        <v>CA</v>
      </c>
      <c r="D31" t="s">
        <v>111</v>
      </c>
      <c r="E31" t="s">
        <v>120</v>
      </c>
      <c r="F31" t="str">
        <f t="shared" si="1"/>
        <v>Levi'S Jeans</v>
      </c>
      <c r="G31" s="9">
        <v>50</v>
      </c>
      <c r="H31">
        <v>50</v>
      </c>
      <c r="I31" t="s">
        <v>32</v>
      </c>
    </row>
    <row r="32" spans="1:9" x14ac:dyDescent="0.25">
      <c r="A32" t="s">
        <v>113</v>
      </c>
      <c r="B32" s="12">
        <f t="shared" si="0"/>
        <v>46212</v>
      </c>
      <c r="C32" s="13" t="str">
        <f>_xlfn.TEXTAFTER(Dataset[[#This Row],[Product ID]],"-",2)</f>
        <v>FR</v>
      </c>
      <c r="D32" t="s">
        <v>114</v>
      </c>
      <c r="E32" t="s">
        <v>115</v>
      </c>
      <c r="F32" t="str">
        <f t="shared" si="1"/>
        <v>Casio Watch</v>
      </c>
      <c r="G32" s="9">
        <v>100</v>
      </c>
      <c r="H32">
        <v>20</v>
      </c>
      <c r="I32" t="s">
        <v>75</v>
      </c>
    </row>
  </sheetData>
  <phoneticPr fontId="8" type="noConversion"/>
  <conditionalFormatting sqref="G1:G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{D1DF2428-C867-45B7-B12E-1A2F4EE9C266}</x14:id>
        </ext>
      </extLst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DF2428-C867-45B7-B12E-1A2F4EE9C2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3C561-D699-4A82-AE5D-B833A36605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</dc:creator>
  <cp:lastModifiedBy>Aswathy</cp:lastModifiedBy>
  <dcterms:modified xsi:type="dcterms:W3CDTF">2026-10-05T18:29:05Z</dcterms:modified>
</cp:coreProperties>
</file>